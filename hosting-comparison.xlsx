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ison" sheetId="1" state="visible" r:id="rId3"/>
    <sheet name="Annual cost" sheetId="2" state="visible" r:id="rId4"/>
    <sheet name="Pick guid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<sst xmlns="http://schemas.openxmlformats.org/spreadsheetml/2006/main" count="182" uniqueCount="128">
  <si>
    <t xml:space="preserve">Provider</t>
  </si>
  <si>
    <t xml:space="preserve">Category</t>
  </si>
  <si>
    <t xml:space="preserve">Closest EU DC</t>
  </si>
  <si>
    <t xml:space="preserve">~Latency to HR (ms)</t>
  </si>
  <si>
    <t xml:space="preserve">Entry tier (€/mo)</t>
  </si>
  <si>
    <t xml:space="preserve">≈2 vCPU / 4 GB (€/mo)</t>
  </si>
  <si>
    <t xml:space="preserve">Pricing model</t>
  </si>
  <si>
    <t xml:space="preserve">Strengths</t>
  </si>
  <si>
    <t xml:space="preserve">Weaknesses</t>
  </si>
  <si>
    <t xml:space="preserve">Fit for 100 users/day</t>
  </si>
  <si>
    <t xml:space="preserve">Hetzner Cloud</t>
  </si>
  <si>
    <t xml:space="preserve">VPS (self-managed)</t>
  </si>
  <si>
    <t xml:space="preserve">Falkenstein, DE</t>
  </si>
  <si>
    <t xml:space="preserve">Hourly, capped monthly</t>
  </si>
  <si>
    <t xml:space="preserve">Cheapest reputable EU host; modern console; per-hour billing; mature snapshots &amp; backups.</t>
  </si>
  <si>
    <t xml:space="preserve">Manual ID verification on signup can take a day.</t>
  </si>
  <si>
    <t xml:space="preserve">Best fit</t>
  </si>
  <si>
    <t xml:space="preserve">DigitalOcean</t>
  </si>
  <si>
    <t xml:space="preserve">Frankfurt, DE</t>
  </si>
  <si>
    <t xml:space="preserve">Monthly</t>
  </si>
  <si>
    <t xml:space="preserve">Best docs/community in the industry; very polished UI; easy add-ons (Spaces S3, Managed PG).</t>
  </si>
  <si>
    <t xml:space="preserve">~30% pricier than Hetzner for equivalent specs.</t>
  </si>
  <si>
    <t xml:space="preserve">Friendliest alt</t>
  </si>
  <si>
    <t xml:space="preserve">Vultr</t>
  </si>
  <si>
    <t xml:space="preserve">Hourly</t>
  </si>
  <si>
    <t xml:space="preserve">Solid performance; cheap; many DCs worldwide.</t>
  </si>
  <si>
    <t xml:space="preserve">Less mature docs and community than DO.</t>
  </si>
  <si>
    <t xml:space="preserve">Strong</t>
  </si>
  <si>
    <t xml:space="preserve">Linode (Akamai)</t>
  </si>
  <si>
    <t xml:space="preserve">Stable, well-respected; clean console; good for teams.</t>
  </si>
  <si>
    <t xml:space="preserve">Conservative pricing; Akamai acquisition adds roadmap uncertainty.</t>
  </si>
  <si>
    <t xml:space="preserve">OVHcloud</t>
  </si>
  <si>
    <t xml:space="preserve">Roubaix, FR</t>
  </si>
  <si>
    <t xml:space="preserve">Cheapest serious option in Europe; many global DCs.</t>
  </si>
  <si>
    <t xml:space="preserve">Console feels dated; reputation hurt by 2021 datacenter fire; support quality varies.</t>
  </si>
  <si>
    <t xml:space="preserve">OK</t>
  </si>
  <si>
    <t xml:space="preserve">Contabo</t>
  </si>
  <si>
    <t xml:space="preserve">Nuremberg, DE</t>
  </si>
  <si>
    <t xml:space="preserve">Great raw specs (4 vCPU / 8 GB at ~€6); generous bandwidth.</t>
  </si>
  <si>
    <t xml:space="preserve">Aggressive CPU oversubscription = noisy-neighbor risk; slower disk than Hetzner.</t>
  </si>
  <si>
    <t xml:space="preserve">Fine here</t>
  </si>
  <si>
    <t xml:space="preserve">Scaleway</t>
  </si>
  <si>
    <t xml:space="preserve">Paris, FR</t>
  </si>
  <si>
    <t xml:space="preserve">Modern UI, decent dev tooling, French-EU compliance focus.</t>
  </si>
  <si>
    <t xml:space="preserve">Smaller than Hetzner; product churn; fewer features.</t>
  </si>
  <si>
    <t xml:space="preserve">UpCloud</t>
  </si>
  <si>
    <t xml:space="preserve">Helsinki, FI</t>
  </si>
  <si>
    <t xml:space="preserve">Reputed for fastest disk I/O of any VPS provider.</t>
  </si>
  <si>
    <t xml:space="preserve">Premium pricing; smaller catalog.</t>
  </si>
  <si>
    <t xml:space="preserve">Premium</t>
  </si>
  <si>
    <t xml:space="preserve">Avalon Cloud</t>
  </si>
  <si>
    <t xml:space="preserve">Croatian VPS</t>
  </si>
  <si>
    <t xml:space="preserve">Zagreb, HR</t>
  </si>
  <si>
    <t xml:space="preserve">Same-country billing &amp; support; lowest possible HR latency; contracts in Croatian.</t>
  </si>
  <si>
    <t xml:space="preserve">3-4× the price of Hetzner; smaller infrastructure.</t>
  </si>
  <si>
    <t xml:space="preserve">If you need HR</t>
  </si>
  <si>
    <t xml:space="preserve">plus.hr / hosting.hr</t>
  </si>
  <si>
    <t xml:space="preserve">Croatian shared/VPS</t>
  </si>
  <si>
    <t xml:space="preserve">Croatian invoices &amp; support; integrated with .hr domain registration.</t>
  </si>
  <si>
    <t xml:space="preserve">Dated tooling; fewer features.</t>
  </si>
  <si>
    <t xml:space="preserve">Last resort</t>
  </si>
  <si>
    <t xml:space="preserve">Render</t>
  </si>
  <si>
    <t xml:space="preserve">PaaS</t>
  </si>
  <si>
    <t xml:space="preserve">Monthly + bandwidth</t>
  </si>
  <si>
    <t xml:space="preserve">Cleanest PaaS DX; git-push deploy; managed Postgres; no servers to admin.</t>
  </si>
  <si>
    <t xml:space="preserve">~3× VPS cost; less control; some vendor-specific configs.</t>
  </si>
  <si>
    <t xml:space="preserve">If you hate ops</t>
  </si>
  <si>
    <t xml:space="preserve">Railway</t>
  </si>
  <si>
    <t xml:space="preserve">EU available</t>
  </si>
  <si>
    <t xml:space="preserve">Usage-based</t>
  </si>
  <si>
    <t xml:space="preserve">Slickest UI; love-at-first-deploy DX; instant PG/Redis add-ons.</t>
  </si>
  <si>
    <t xml:space="preserve">Pricing-model changes have annoyed users; usage bills can surprise.</t>
  </si>
  <si>
    <t xml:space="preserve">DigitalOcean App Platform</t>
  </si>
  <si>
    <t xml:space="preserve">All-in-one with managed PG and Spaces; one vendor to deal with.</t>
  </si>
  <si>
    <t xml:space="preserve">Most expensive of the PaaS options at full stack; DO ecosystem lock-in.</t>
  </si>
  <si>
    <t xml:space="preserve">Fly.io</t>
  </si>
  <si>
    <t xml:space="preserve">PaaS / edge</t>
  </si>
  <si>
    <t xml:space="preserve">Usage-based, free tier</t>
  </si>
  <si>
    <t xml:space="preserve">Edge-distributed; ARM machines; useful free tier for small apps.</t>
  </si>
  <si>
    <t xml:space="preserve">Steepest learning curve; global model is overkill at this scale.</t>
  </si>
  <si>
    <t xml:space="preserve">Niche fit</t>
  </si>
  <si>
    <t xml:space="preserve">Heroku</t>
  </si>
  <si>
    <t xml:space="preserve">The original PaaS; well-documented; rock-solid.</t>
  </si>
  <si>
    <t xml:space="preserve">Salesforce-owned; no free tier since 2022; pricier than competitors.</t>
  </si>
  <si>
    <t xml:space="preserve">Outclassed</t>
  </si>
  <si>
    <t xml:space="preserve">AWS Lightsail</t>
  </si>
  <si>
    <t xml:space="preserve">Simplified AWS</t>
  </si>
  <si>
    <t xml:space="preserve">Real AWS infrastructure at flat rates; gateway to other AWS services.</t>
  </si>
  <si>
    <t xml:space="preserve">AWS as a whole is heavier than 100 users/day needs; plan-locked specs.</t>
  </si>
  <si>
    <t xml:space="preserve">Oracle Cloud Free</t>
  </si>
  <si>
    <t xml:space="preserve">Always-free tier</t>
  </si>
  <si>
    <t xml:space="preserve">Free forever</t>
  </si>
  <si>
    <t xml:space="preserve">Genuinely free 4 ARM cores + 24 GB RAM; on paper crushes everything else.</t>
  </si>
  <si>
    <t xml:space="preserve">Sign-ups blocked when capacity is full; accounts can be reclaimed if 'idle'; risky for prod.</t>
  </si>
  <si>
    <t xml:space="preserve">Staging only</t>
  </si>
  <si>
    <t xml:space="preserve">Notes: Prices in € as of May 2026; USD prices converted at 1 USD ≈ 0.92 €. ‘≈2 vCPU / 4 GB’ is the closest tier each provider offers to the Hetzner CX22 baseline. Latency to Croatia is approximate (typical residential ping); ±10 ms is normal.</t>
  </si>
  <si>
    <t xml:space="preserve">Assumptions</t>
  </si>
  <si>
    <t xml:space="preserve">Domain (€/year)</t>
  </si>
  <si>
    <t xml:space="preserve">Backup / snapshots surcharge</t>
  </si>
  <si>
    <t xml:space="preserve">Bandwidth / extras (€/mo)</t>
  </si>
  <si>
    <t xml:space="preserve">Months in a year</t>
  </si>
  <si>
    <t xml:space="preserve">Hosting (€/mo)</t>
  </si>
  <si>
    <t xml:space="preserve">Backups (€/mo)</t>
  </si>
  <si>
    <t xml:space="preserve">Extras (€/mo)</t>
  </si>
  <si>
    <t xml:space="preserve">Total monthly</t>
  </si>
  <si>
    <t xml:space="preserve">Annual hosting</t>
  </si>
  <si>
    <t xml:space="preserve">Annual + domain (Year 1)</t>
  </si>
  <si>
    <t xml:space="preserve">Edit the yellow assumption cells (B2-B5) to model your own scenario. ‘Annual + domain (Year 1)’ folds in the one-time domain cost; renewal years are just ‘Annual hosting’.</t>
  </si>
  <si>
    <t xml:space="preserve">Which one should you pick?</t>
  </si>
  <si>
    <t xml:space="preserve">Scenario</t>
  </si>
  <si>
    <t xml:space="preserve">Pick</t>
  </si>
  <si>
    <t xml:space="preserve">Why</t>
  </si>
  <si>
    <t xml:space="preserve">Default — solo dev, low traffic, pragmatic</t>
  </si>
  <si>
    <t xml:space="preserve">Hetzner Cloud CX22 + Cloudflare free tier</t>
  </si>
  <si>
    <t xml:space="preserve">Cheapest reputable host with all the features you need; ~€7/mo total including domain.</t>
  </si>
  <si>
    <t xml:space="preserve">If Hetzner verification gets stuck or you hate the UI</t>
  </si>
  <si>
    <t xml:space="preserve">DigitalOcean Basic Droplet ($12/mo)</t>
  </si>
  <si>
    <t xml:space="preserve">Same model, friendlier UX, much better tutorial library. ~€20/mo total.</t>
  </si>
  <si>
    <t xml:space="preserve">If you don't want to learn Linux ops at all</t>
  </si>
  <si>
    <t xml:space="preserve">Render Web Service + Render Postgres</t>
  </si>
  <si>
    <t xml:space="preserve">Git-push deploys, no servers to babysit. ~€25/mo total.</t>
  </si>
  <si>
    <t xml:space="preserve">If you specifically need a Croatian provider</t>
  </si>
  <si>
    <t xml:space="preserve">Same-country billing, support in Croatian. ~€35/mo total.</t>
  </si>
  <si>
    <t xml:space="preserve">If you genuinely want to pay nothing (with caveats)</t>
  </si>
  <si>
    <t xml:space="preserve">Oracle Cloud free tier — staging or hobby use</t>
  </si>
  <si>
    <t xml:space="preserve">Forever-free 4 ARM cores + 24 GB RAM; account can be reclaimed without warning. Don't bet prod on it.</t>
  </si>
  <si>
    <t xml:space="preserve">If you'll grow into AWS later anyway</t>
  </si>
  <si>
    <t xml:space="preserve">Real AWS infra at flat rates; smooth migration to EC2/RDS later if you scale.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</si>
</sst>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€#,##0.00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0606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4"/>
      <color rgb="FF1F386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4F6FB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C7CE"/>
      </patternFill>
    </fill>
    <fill>
      <patternFill patternType="solid">
        <fgColor rgb="FFFFC7CE"/>
        <bgColor rgb="FFD0D0D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6FB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50"/>
    <col collapsed="false" customWidth="true" hidden="false" outlineLevel="0" max="9" min="9" style="0" width="45"/>
    <col collapsed="false" customWidth="true" hidden="false" outlineLevel="0" max="10" min="10" style="0" width="18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49.5" hidden="false" customHeight="true" outlineLevel="0" collapsed="false">
      <c r="A2" s="2" t="s">
        <v>10</v>
      </c>
      <c r="B2" s="2" t="s">
        <v>11</v>
      </c>
      <c r="C2" s="2" t="s">
        <v>12</v>
      </c>
      <c r="D2" s="3" t="n">
        <v>25</v>
      </c>
      <c r="E2" s="4" t="n">
        <v>3.79</v>
      </c>
      <c r="F2" s="4" t="n">
        <v>4.51</v>
      </c>
      <c r="G2" s="2" t="s">
        <v>13</v>
      </c>
      <c r="H2" s="2" t="s">
        <v>14</v>
      </c>
      <c r="I2" s="2" t="s">
        <v>15</v>
      </c>
      <c r="J2" s="5" t="s">
        <v>16</v>
      </c>
    </row>
    <row r="3" customFormat="false" ht="49.5" hidden="false" customHeight="true" outlineLevel="0" collapsed="false">
      <c r="A3" s="6" t="s">
        <v>17</v>
      </c>
      <c r="B3" s="6" t="s">
        <v>11</v>
      </c>
      <c r="C3" s="6" t="s">
        <v>18</v>
      </c>
      <c r="D3" s="7" t="n">
        <v>30</v>
      </c>
      <c r="E3" s="8" t="n">
        <v>5.5</v>
      </c>
      <c r="F3" s="8" t="n">
        <v>11</v>
      </c>
      <c r="G3" s="6" t="s">
        <v>19</v>
      </c>
      <c r="H3" s="6" t="s">
        <v>20</v>
      </c>
      <c r="I3" s="6" t="s">
        <v>21</v>
      </c>
      <c r="J3" s="5" t="s">
        <v>22</v>
      </c>
    </row>
    <row r="4" customFormat="false" ht="49.5" hidden="false" customHeight="true" outlineLevel="0" collapsed="false">
      <c r="A4" s="2" t="s">
        <v>23</v>
      </c>
      <c r="B4" s="2" t="s">
        <v>11</v>
      </c>
      <c r="C4" s="2" t="s">
        <v>18</v>
      </c>
      <c r="D4" s="3" t="n">
        <v>30</v>
      </c>
      <c r="E4" s="4" t="n">
        <v>5.5</v>
      </c>
      <c r="F4" s="4" t="n">
        <v>11</v>
      </c>
      <c r="G4" s="2" t="s">
        <v>24</v>
      </c>
      <c r="H4" s="2" t="s">
        <v>25</v>
      </c>
      <c r="I4" s="2" t="s">
        <v>26</v>
      </c>
      <c r="J4" s="5" t="s">
        <v>27</v>
      </c>
    </row>
    <row r="5" customFormat="false" ht="49.5" hidden="false" customHeight="true" outlineLevel="0" collapsed="false">
      <c r="A5" s="6" t="s">
        <v>28</v>
      </c>
      <c r="B5" s="6" t="s">
        <v>11</v>
      </c>
      <c r="C5" s="6" t="s">
        <v>18</v>
      </c>
      <c r="D5" s="7" t="n">
        <v>30</v>
      </c>
      <c r="E5" s="8" t="n">
        <v>5</v>
      </c>
      <c r="F5" s="8" t="n">
        <v>11</v>
      </c>
      <c r="G5" s="6" t="s">
        <v>19</v>
      </c>
      <c r="H5" s="6" t="s">
        <v>29</v>
      </c>
      <c r="I5" s="6" t="s">
        <v>30</v>
      </c>
      <c r="J5" s="5" t="s">
        <v>27</v>
      </c>
    </row>
    <row r="6" customFormat="false" ht="49.5" hidden="false" customHeight="true" outlineLevel="0" collapsed="false">
      <c r="A6" s="2" t="s">
        <v>31</v>
      </c>
      <c r="B6" s="2" t="s">
        <v>11</v>
      </c>
      <c r="C6" s="2" t="s">
        <v>32</v>
      </c>
      <c r="D6" s="3" t="n">
        <v>35</v>
      </c>
      <c r="E6" s="4" t="n">
        <v>3.5</v>
      </c>
      <c r="F6" s="4" t="n">
        <v>5</v>
      </c>
      <c r="G6" s="2" t="s">
        <v>19</v>
      </c>
      <c r="H6" s="2" t="s">
        <v>33</v>
      </c>
      <c r="I6" s="2" t="s">
        <v>34</v>
      </c>
      <c r="J6" s="9" t="s">
        <v>35</v>
      </c>
    </row>
    <row r="7" customFormat="false" ht="49.5" hidden="false" customHeight="true" outlineLevel="0" collapsed="false">
      <c r="A7" s="6" t="s">
        <v>36</v>
      </c>
      <c r="B7" s="6" t="s">
        <v>11</v>
      </c>
      <c r="C7" s="6" t="s">
        <v>37</v>
      </c>
      <c r="D7" s="7" t="n">
        <v>25</v>
      </c>
      <c r="E7" s="8" t="n">
        <v>4</v>
      </c>
      <c r="F7" s="8" t="n">
        <v>6</v>
      </c>
      <c r="G7" s="6" t="s">
        <v>19</v>
      </c>
      <c r="H7" s="6" t="s">
        <v>38</v>
      </c>
      <c r="I7" s="6" t="s">
        <v>39</v>
      </c>
      <c r="J7" s="5" t="s">
        <v>40</v>
      </c>
    </row>
    <row r="8" customFormat="false" ht="49.5" hidden="false" customHeight="true" outlineLevel="0" collapsed="false">
      <c r="A8" s="2" t="s">
        <v>41</v>
      </c>
      <c r="B8" s="2" t="s">
        <v>11</v>
      </c>
      <c r="C8" s="2" t="s">
        <v>42</v>
      </c>
      <c r="D8" s="3" t="n">
        <v>35</v>
      </c>
      <c r="E8" s="4" t="n">
        <v>4.3</v>
      </c>
      <c r="F8" s="4" t="n">
        <v>8</v>
      </c>
      <c r="G8" s="2" t="s">
        <v>24</v>
      </c>
      <c r="H8" s="2" t="s">
        <v>43</v>
      </c>
      <c r="I8" s="2" t="s">
        <v>44</v>
      </c>
      <c r="J8" s="9" t="s">
        <v>35</v>
      </c>
    </row>
    <row r="9" customFormat="false" ht="49.5" hidden="false" customHeight="true" outlineLevel="0" collapsed="false">
      <c r="A9" s="6" t="s">
        <v>45</v>
      </c>
      <c r="B9" s="6" t="s">
        <v>11</v>
      </c>
      <c r="C9" s="6" t="s">
        <v>46</v>
      </c>
      <c r="D9" s="7" t="n">
        <v>40</v>
      </c>
      <c r="E9" s="8" t="n">
        <v>5</v>
      </c>
      <c r="F9" s="8" t="n">
        <v>14</v>
      </c>
      <c r="G9" s="6" t="s">
        <v>24</v>
      </c>
      <c r="H9" s="6" t="s">
        <v>47</v>
      </c>
      <c r="I9" s="6" t="s">
        <v>48</v>
      </c>
      <c r="J9" s="9" t="s">
        <v>49</v>
      </c>
    </row>
    <row r="10" customFormat="false" ht="49.5" hidden="false" customHeight="true" outlineLevel="0" collapsed="false">
      <c r="A10" s="2" t="s">
        <v>50</v>
      </c>
      <c r="B10" s="2" t="s">
        <v>51</v>
      </c>
      <c r="C10" s="2" t="s">
        <v>52</v>
      </c>
      <c r="D10" s="3" t="n">
        <v>10</v>
      </c>
      <c r="E10" s="4" t="n">
        <v>16</v>
      </c>
      <c r="F10" s="4" t="n">
        <v>20</v>
      </c>
      <c r="G10" s="2" t="s">
        <v>19</v>
      </c>
      <c r="H10" s="2" t="s">
        <v>53</v>
      </c>
      <c r="I10" s="2" t="s">
        <v>54</v>
      </c>
      <c r="J10" s="9" t="s">
        <v>55</v>
      </c>
    </row>
    <row r="11" customFormat="false" ht="49.5" hidden="false" customHeight="true" outlineLevel="0" collapsed="false">
      <c r="A11" s="6" t="s">
        <v>56</v>
      </c>
      <c r="B11" s="6" t="s">
        <v>57</v>
      </c>
      <c r="C11" s="6" t="s">
        <v>52</v>
      </c>
      <c r="D11" s="7" t="n">
        <v>10</v>
      </c>
      <c r="E11" s="8" t="n">
        <v>10</v>
      </c>
      <c r="F11" s="8" t="n">
        <v>15</v>
      </c>
      <c r="G11" s="6" t="s">
        <v>19</v>
      </c>
      <c r="H11" s="6" t="s">
        <v>58</v>
      </c>
      <c r="I11" s="6" t="s">
        <v>59</v>
      </c>
      <c r="J11" s="10" t="s">
        <v>60</v>
      </c>
    </row>
    <row r="12" customFormat="false" ht="49.5" hidden="false" customHeight="true" outlineLevel="0" collapsed="false">
      <c r="A12" s="2" t="s">
        <v>61</v>
      </c>
      <c r="B12" s="2" t="s">
        <v>62</v>
      </c>
      <c r="C12" s="2" t="s">
        <v>18</v>
      </c>
      <c r="D12" s="3" t="n">
        <v>30</v>
      </c>
      <c r="E12" s="4" t="n">
        <v>6</v>
      </c>
      <c r="F12" s="4" t="n">
        <v>13</v>
      </c>
      <c r="G12" s="2" t="s">
        <v>63</v>
      </c>
      <c r="H12" s="2" t="s">
        <v>64</v>
      </c>
      <c r="I12" s="2" t="s">
        <v>65</v>
      </c>
      <c r="J12" s="5" t="s">
        <v>66</v>
      </c>
    </row>
    <row r="13" customFormat="false" ht="49.5" hidden="false" customHeight="true" outlineLevel="0" collapsed="false">
      <c r="A13" s="6" t="s">
        <v>67</v>
      </c>
      <c r="B13" s="6" t="s">
        <v>62</v>
      </c>
      <c r="C13" s="6" t="s">
        <v>68</v>
      </c>
      <c r="D13" s="7" t="n">
        <v>30</v>
      </c>
      <c r="E13" s="8" t="n">
        <v>5</v>
      </c>
      <c r="F13" s="8" t="n">
        <v>15</v>
      </c>
      <c r="G13" s="6" t="s">
        <v>69</v>
      </c>
      <c r="H13" s="6" t="s">
        <v>70</v>
      </c>
      <c r="I13" s="6" t="s">
        <v>71</v>
      </c>
      <c r="J13" s="9" t="s">
        <v>35</v>
      </c>
    </row>
    <row r="14" customFormat="false" ht="49.5" hidden="false" customHeight="true" outlineLevel="0" collapsed="false">
      <c r="A14" s="2" t="s">
        <v>72</v>
      </c>
      <c r="B14" s="2" t="s">
        <v>62</v>
      </c>
      <c r="C14" s="2" t="s">
        <v>18</v>
      </c>
      <c r="D14" s="3" t="n">
        <v>30</v>
      </c>
      <c r="E14" s="4" t="n">
        <v>5</v>
      </c>
      <c r="F14" s="4" t="n">
        <v>27</v>
      </c>
      <c r="G14" s="2" t="s">
        <v>19</v>
      </c>
      <c r="H14" s="2" t="s">
        <v>73</v>
      </c>
      <c r="I14" s="2" t="s">
        <v>74</v>
      </c>
      <c r="J14" s="9" t="s">
        <v>35</v>
      </c>
    </row>
    <row r="15" customFormat="false" ht="49.5" hidden="false" customHeight="true" outlineLevel="0" collapsed="false">
      <c r="A15" s="6" t="s">
        <v>75</v>
      </c>
      <c r="B15" s="6" t="s">
        <v>76</v>
      </c>
      <c r="C15" s="6" t="s">
        <v>18</v>
      </c>
      <c r="D15" s="7" t="n">
        <v>30</v>
      </c>
      <c r="E15" s="8" t="n">
        <v>0</v>
      </c>
      <c r="F15" s="8" t="n">
        <v>7</v>
      </c>
      <c r="G15" s="6" t="s">
        <v>77</v>
      </c>
      <c r="H15" s="6" t="s">
        <v>78</v>
      </c>
      <c r="I15" s="6" t="s">
        <v>79</v>
      </c>
      <c r="J15" s="9" t="s">
        <v>80</v>
      </c>
    </row>
    <row r="16" customFormat="false" ht="49.5" hidden="false" customHeight="true" outlineLevel="0" collapsed="false">
      <c r="A16" s="2" t="s">
        <v>81</v>
      </c>
      <c r="B16" s="2" t="s">
        <v>62</v>
      </c>
      <c r="C16" s="2" t="s">
        <v>18</v>
      </c>
      <c r="D16" s="3" t="n">
        <v>35</v>
      </c>
      <c r="E16" s="4" t="n">
        <v>5</v>
      </c>
      <c r="F16" s="4" t="n">
        <v>13</v>
      </c>
      <c r="G16" s="2" t="s">
        <v>19</v>
      </c>
      <c r="H16" s="2" t="s">
        <v>82</v>
      </c>
      <c r="I16" s="2" t="s">
        <v>83</v>
      </c>
      <c r="J16" s="10" t="s">
        <v>84</v>
      </c>
    </row>
    <row r="17" customFormat="false" ht="49.5" hidden="false" customHeight="true" outlineLevel="0" collapsed="false">
      <c r="A17" s="6" t="s">
        <v>85</v>
      </c>
      <c r="B17" s="6" t="s">
        <v>86</v>
      </c>
      <c r="C17" s="6" t="s">
        <v>18</v>
      </c>
      <c r="D17" s="7" t="n">
        <v>30</v>
      </c>
      <c r="E17" s="8" t="n">
        <v>3.5</v>
      </c>
      <c r="F17" s="8" t="n">
        <v>9</v>
      </c>
      <c r="G17" s="6" t="s">
        <v>19</v>
      </c>
      <c r="H17" s="6" t="s">
        <v>87</v>
      </c>
      <c r="I17" s="6" t="s">
        <v>88</v>
      </c>
      <c r="J17" s="9" t="s">
        <v>35</v>
      </c>
    </row>
    <row r="18" customFormat="false" ht="49.5" hidden="false" customHeight="true" outlineLevel="0" collapsed="false">
      <c r="A18" s="2" t="s">
        <v>89</v>
      </c>
      <c r="B18" s="2" t="s">
        <v>90</v>
      </c>
      <c r="C18" s="2" t="s">
        <v>18</v>
      </c>
      <c r="D18" s="3" t="n">
        <v>30</v>
      </c>
      <c r="E18" s="4" t="n">
        <v>0</v>
      </c>
      <c r="F18" s="4" t="n">
        <v>0</v>
      </c>
      <c r="G18" s="2" t="s">
        <v>91</v>
      </c>
      <c r="H18" s="2" t="s">
        <v>92</v>
      </c>
      <c r="I18" s="2" t="s">
        <v>93</v>
      </c>
      <c r="J18" s="10" t="s">
        <v>94</v>
      </c>
    </row>
    <row r="20" customFormat="false" ht="31.5" hidden="false" customHeight="true" outlineLevel="0" collapsed="false">
      <c r="A20" s="11" t="s">
        <v>95</v>
      </c>
      <c r="B20" s="11"/>
      <c r="C20" s="11"/>
      <c r="D20" s="11"/>
      <c r="E20" s="11"/>
      <c r="F20" s="11"/>
      <c r="G20" s="11"/>
      <c r="H20" s="11"/>
      <c r="I20" s="11"/>
      <c r="J20" s="11"/>
    </row>
  </sheetData>
  <mergeCells count="1">
    <mergeCell ref="A20:J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24"/>
  </cols>
  <sheetData>
    <row r="1" customFormat="false" ht="15" hidden="false" customHeight="false" outlineLevel="0" collapsed="false">
      <c r="A1" s="12" t="s">
        <v>96</v>
      </c>
    </row>
    <row r="2" customFormat="false" ht="15" hidden="false" customHeight="false" outlineLevel="0" collapsed="false">
      <c r="A2" s="13" t="s">
        <v>97</v>
      </c>
      <c r="B2" s="14" t="n">
        <v>10</v>
      </c>
    </row>
    <row r="3" customFormat="false" ht="15" hidden="false" customHeight="false" outlineLevel="0" collapsed="false">
      <c r="A3" s="13" t="s">
        <v>98</v>
      </c>
      <c r="B3" s="15" t="n">
        <v>0.2</v>
      </c>
    </row>
    <row r="4" customFormat="false" ht="15" hidden="false" customHeight="false" outlineLevel="0" collapsed="false">
      <c r="A4" s="13" t="s">
        <v>99</v>
      </c>
      <c r="B4" s="14" t="n">
        <v>0</v>
      </c>
    </row>
    <row r="5" customFormat="false" ht="15" hidden="false" customHeight="false" outlineLevel="0" collapsed="false">
      <c r="A5" s="13" t="s">
        <v>100</v>
      </c>
      <c r="B5" s="16" t="n">
        <v>12</v>
      </c>
    </row>
    <row r="7" customFormat="false" ht="36" hidden="false" customHeight="true" outlineLevel="0" collapsed="false">
      <c r="A7" s="1" t="s">
        <v>0</v>
      </c>
      <c r="B7" s="1" t="s">
        <v>101</v>
      </c>
      <c r="C7" s="1" t="s">
        <v>102</v>
      </c>
      <c r="D7" s="1" t="s">
        <v>103</v>
      </c>
      <c r="E7" s="1" t="s">
        <v>104</v>
      </c>
      <c r="F7" s="1" t="s">
        <v>105</v>
      </c>
      <c r="G7" s="1" t="s">
        <v>106</v>
      </c>
    </row>
    <row r="8" customFormat="false" ht="15" hidden="false" customHeight="false" outlineLevel="0" collapsed="false">
      <c r="A8" s="17" t="s">
        <v>10</v>
      </c>
      <c r="B8" s="4" t="n">
        <v>4.51</v>
      </c>
      <c r="C8" s="4" t="n">
        <f aca="false">B8*$B$3</f>
        <v>0.902</v>
      </c>
      <c r="D8" s="4" t="n">
        <f aca="false">$B$4</f>
        <v>0</v>
      </c>
      <c r="E8" s="4" t="n">
        <f aca="false">B8+C8+D8</f>
        <v>5.412</v>
      </c>
      <c r="F8" s="4" t="n">
        <f aca="false">E8*$B$5</f>
        <v>64.944</v>
      </c>
      <c r="G8" s="4" t="n">
        <f aca="false">F8+$B$2</f>
        <v>74.944</v>
      </c>
    </row>
    <row r="9" customFormat="false" ht="15" hidden="false" customHeight="false" outlineLevel="0" collapsed="false">
      <c r="A9" s="18" t="s">
        <v>17</v>
      </c>
      <c r="B9" s="8" t="n">
        <v>11</v>
      </c>
      <c r="C9" s="8" t="n">
        <f aca="false">B9*$B$3</f>
        <v>2.2</v>
      </c>
      <c r="D9" s="8" t="n">
        <f aca="false">$B$4</f>
        <v>0</v>
      </c>
      <c r="E9" s="8" t="n">
        <f aca="false">B9+C9+D9</f>
        <v>13.2</v>
      </c>
      <c r="F9" s="8" t="n">
        <f aca="false">E9*$B$5</f>
        <v>158.4</v>
      </c>
      <c r="G9" s="8" t="n">
        <f aca="false">F9+$B$2</f>
        <v>168.4</v>
      </c>
    </row>
    <row r="10" customFormat="false" ht="15" hidden="false" customHeight="false" outlineLevel="0" collapsed="false">
      <c r="A10" s="17" t="s">
        <v>23</v>
      </c>
      <c r="B10" s="4" t="n">
        <v>11</v>
      </c>
      <c r="C10" s="4" t="n">
        <f aca="false">B10*$B$3</f>
        <v>2.2</v>
      </c>
      <c r="D10" s="4" t="n">
        <f aca="false">$B$4</f>
        <v>0</v>
      </c>
      <c r="E10" s="4" t="n">
        <f aca="false">B10+C10+D10</f>
        <v>13.2</v>
      </c>
      <c r="F10" s="4" t="n">
        <f aca="false">E10*$B$5</f>
        <v>158.4</v>
      </c>
      <c r="G10" s="4" t="n">
        <f aca="false">F10+$B$2</f>
        <v>168.4</v>
      </c>
    </row>
    <row r="11" customFormat="false" ht="15" hidden="false" customHeight="false" outlineLevel="0" collapsed="false">
      <c r="A11" s="18" t="s">
        <v>28</v>
      </c>
      <c r="B11" s="8" t="n">
        <v>11</v>
      </c>
      <c r="C11" s="8" t="n">
        <f aca="false">B11*$B$3</f>
        <v>2.2</v>
      </c>
      <c r="D11" s="8" t="n">
        <f aca="false">$B$4</f>
        <v>0</v>
      </c>
      <c r="E11" s="8" t="n">
        <f aca="false">B11+C11+D11</f>
        <v>13.2</v>
      </c>
      <c r="F11" s="8" t="n">
        <f aca="false">E11*$B$5</f>
        <v>158.4</v>
      </c>
      <c r="G11" s="8" t="n">
        <f aca="false">F11+$B$2</f>
        <v>168.4</v>
      </c>
    </row>
    <row r="12" customFormat="false" ht="15" hidden="false" customHeight="false" outlineLevel="0" collapsed="false">
      <c r="A12" s="17" t="s">
        <v>31</v>
      </c>
      <c r="B12" s="4" t="n">
        <v>5</v>
      </c>
      <c r="C12" s="4" t="n">
        <f aca="false">B12*$B$3</f>
        <v>1</v>
      </c>
      <c r="D12" s="4" t="n">
        <f aca="false">$B$4</f>
        <v>0</v>
      </c>
      <c r="E12" s="4" t="n">
        <f aca="false">B12+C12+D12</f>
        <v>6</v>
      </c>
      <c r="F12" s="4" t="n">
        <f aca="false">E12*$B$5</f>
        <v>72</v>
      </c>
      <c r="G12" s="4" t="n">
        <f aca="false">F12+$B$2</f>
        <v>82</v>
      </c>
    </row>
    <row r="13" customFormat="false" ht="15" hidden="false" customHeight="false" outlineLevel="0" collapsed="false">
      <c r="A13" s="18" t="s">
        <v>36</v>
      </c>
      <c r="B13" s="8" t="n">
        <v>6</v>
      </c>
      <c r="C13" s="8" t="n">
        <f aca="false">B13*$B$3</f>
        <v>1.2</v>
      </c>
      <c r="D13" s="8" t="n">
        <f aca="false">$B$4</f>
        <v>0</v>
      </c>
      <c r="E13" s="8" t="n">
        <f aca="false">B13+C13+D13</f>
        <v>7.2</v>
      </c>
      <c r="F13" s="8" t="n">
        <f aca="false">E13*$B$5</f>
        <v>86.4</v>
      </c>
      <c r="G13" s="8" t="n">
        <f aca="false">F13+$B$2</f>
        <v>96.4</v>
      </c>
    </row>
    <row r="14" customFormat="false" ht="15" hidden="false" customHeight="false" outlineLevel="0" collapsed="false">
      <c r="A14" s="17" t="s">
        <v>41</v>
      </c>
      <c r="B14" s="4" t="n">
        <v>8</v>
      </c>
      <c r="C14" s="4" t="n">
        <f aca="false">B14*$B$3</f>
        <v>1.6</v>
      </c>
      <c r="D14" s="4" t="n">
        <f aca="false">$B$4</f>
        <v>0</v>
      </c>
      <c r="E14" s="4" t="n">
        <f aca="false">B14+C14+D14</f>
        <v>9.6</v>
      </c>
      <c r="F14" s="4" t="n">
        <f aca="false">E14*$B$5</f>
        <v>115.2</v>
      </c>
      <c r="G14" s="4" t="n">
        <f aca="false">F14+$B$2</f>
        <v>125.2</v>
      </c>
    </row>
    <row r="15" customFormat="false" ht="15" hidden="false" customHeight="false" outlineLevel="0" collapsed="false">
      <c r="A15" s="18" t="s">
        <v>45</v>
      </c>
      <c r="B15" s="8" t="n">
        <v>14</v>
      </c>
      <c r="C15" s="8" t="n">
        <f aca="false">B15*$B$3</f>
        <v>2.8</v>
      </c>
      <c r="D15" s="8" t="n">
        <f aca="false">$B$4</f>
        <v>0</v>
      </c>
      <c r="E15" s="8" t="n">
        <f aca="false">B15+C15+D15</f>
        <v>16.8</v>
      </c>
      <c r="F15" s="8" t="n">
        <f aca="false">E15*$B$5</f>
        <v>201.6</v>
      </c>
      <c r="G15" s="8" t="n">
        <f aca="false">F15+$B$2</f>
        <v>211.6</v>
      </c>
    </row>
    <row r="16" customFormat="false" ht="15" hidden="false" customHeight="false" outlineLevel="0" collapsed="false">
      <c r="A16" s="17" t="s">
        <v>50</v>
      </c>
      <c r="B16" s="4" t="n">
        <v>20</v>
      </c>
      <c r="C16" s="4" t="n">
        <f aca="false">B16*$B$3</f>
        <v>4</v>
      </c>
      <c r="D16" s="4" t="n">
        <f aca="false">$B$4</f>
        <v>0</v>
      </c>
      <c r="E16" s="4" t="n">
        <f aca="false">B16+C16+D16</f>
        <v>24</v>
      </c>
      <c r="F16" s="4" t="n">
        <f aca="false">E16*$B$5</f>
        <v>288</v>
      </c>
      <c r="G16" s="4" t="n">
        <f aca="false">F16+$B$2</f>
        <v>298</v>
      </c>
    </row>
    <row r="17" customFormat="false" ht="15" hidden="false" customHeight="false" outlineLevel="0" collapsed="false">
      <c r="A17" s="18" t="s">
        <v>56</v>
      </c>
      <c r="B17" s="8" t="n">
        <v>15</v>
      </c>
      <c r="C17" s="8" t="n">
        <f aca="false">B17*$B$3</f>
        <v>3</v>
      </c>
      <c r="D17" s="8" t="n">
        <f aca="false">$B$4</f>
        <v>0</v>
      </c>
      <c r="E17" s="8" t="n">
        <f aca="false">B17+C17+D17</f>
        <v>18</v>
      </c>
      <c r="F17" s="8" t="n">
        <f aca="false">E17*$B$5</f>
        <v>216</v>
      </c>
      <c r="G17" s="8" t="n">
        <f aca="false">F17+$B$2</f>
        <v>226</v>
      </c>
    </row>
    <row r="18" customFormat="false" ht="15" hidden="false" customHeight="false" outlineLevel="0" collapsed="false">
      <c r="A18" s="17" t="s">
        <v>61</v>
      </c>
      <c r="B18" s="4" t="n">
        <v>13</v>
      </c>
      <c r="C18" s="4" t="n">
        <f aca="false">B18*$B$3</f>
        <v>2.6</v>
      </c>
      <c r="D18" s="4" t="n">
        <f aca="false">$B$4</f>
        <v>0</v>
      </c>
      <c r="E18" s="4" t="n">
        <f aca="false">B18+C18+D18</f>
        <v>15.6</v>
      </c>
      <c r="F18" s="4" t="n">
        <f aca="false">E18*$B$5</f>
        <v>187.2</v>
      </c>
      <c r="G18" s="4" t="n">
        <f aca="false">F18+$B$2</f>
        <v>197.2</v>
      </c>
    </row>
    <row r="19" customFormat="false" ht="15" hidden="false" customHeight="false" outlineLevel="0" collapsed="false">
      <c r="A19" s="18" t="s">
        <v>67</v>
      </c>
      <c r="B19" s="8" t="n">
        <v>15</v>
      </c>
      <c r="C19" s="8" t="n">
        <f aca="false">B19*$B$3</f>
        <v>3</v>
      </c>
      <c r="D19" s="8" t="n">
        <f aca="false">$B$4</f>
        <v>0</v>
      </c>
      <c r="E19" s="8" t="n">
        <f aca="false">B19+C19+D19</f>
        <v>18</v>
      </c>
      <c r="F19" s="8" t="n">
        <f aca="false">E19*$B$5</f>
        <v>216</v>
      </c>
      <c r="G19" s="8" t="n">
        <f aca="false">F19+$B$2</f>
        <v>226</v>
      </c>
    </row>
    <row r="20" customFormat="false" ht="15" hidden="false" customHeight="false" outlineLevel="0" collapsed="false">
      <c r="A20" s="17" t="s">
        <v>72</v>
      </c>
      <c r="B20" s="4" t="n">
        <v>27</v>
      </c>
      <c r="C20" s="4" t="n">
        <f aca="false">B20*$B$3</f>
        <v>5.4</v>
      </c>
      <c r="D20" s="4" t="n">
        <f aca="false">$B$4</f>
        <v>0</v>
      </c>
      <c r="E20" s="4" t="n">
        <f aca="false">B20+C20+D20</f>
        <v>32.4</v>
      </c>
      <c r="F20" s="4" t="n">
        <f aca="false">E20*$B$5</f>
        <v>388.8</v>
      </c>
      <c r="G20" s="4" t="n">
        <f aca="false">F20+$B$2</f>
        <v>398.8</v>
      </c>
    </row>
    <row r="21" customFormat="false" ht="15" hidden="false" customHeight="false" outlineLevel="0" collapsed="false">
      <c r="A21" s="18" t="s">
        <v>75</v>
      </c>
      <c r="B21" s="8" t="n">
        <v>7</v>
      </c>
      <c r="C21" s="8" t="n">
        <f aca="false">B21*$B$3</f>
        <v>1.4</v>
      </c>
      <c r="D21" s="8" t="n">
        <f aca="false">$B$4</f>
        <v>0</v>
      </c>
      <c r="E21" s="8" t="n">
        <f aca="false">B21+C21+D21</f>
        <v>8.4</v>
      </c>
      <c r="F21" s="8" t="n">
        <f aca="false">E21*$B$5</f>
        <v>100.8</v>
      </c>
      <c r="G21" s="8" t="n">
        <f aca="false">F21+$B$2</f>
        <v>110.8</v>
      </c>
    </row>
    <row r="22" customFormat="false" ht="15" hidden="false" customHeight="false" outlineLevel="0" collapsed="false">
      <c r="A22" s="17" t="s">
        <v>81</v>
      </c>
      <c r="B22" s="4" t="n">
        <v>13</v>
      </c>
      <c r="C22" s="4" t="n">
        <f aca="false">B22*$B$3</f>
        <v>2.6</v>
      </c>
      <c r="D22" s="4" t="n">
        <f aca="false">$B$4</f>
        <v>0</v>
      </c>
      <c r="E22" s="4" t="n">
        <f aca="false">B22+C22+D22</f>
        <v>15.6</v>
      </c>
      <c r="F22" s="4" t="n">
        <f aca="false">E22*$B$5</f>
        <v>187.2</v>
      </c>
      <c r="G22" s="4" t="n">
        <f aca="false">F22+$B$2</f>
        <v>197.2</v>
      </c>
    </row>
    <row r="23" customFormat="false" ht="15" hidden="false" customHeight="false" outlineLevel="0" collapsed="false">
      <c r="A23" s="18" t="s">
        <v>85</v>
      </c>
      <c r="B23" s="8" t="n">
        <v>9</v>
      </c>
      <c r="C23" s="8" t="n">
        <f aca="false">B23*$B$3</f>
        <v>1.8</v>
      </c>
      <c r="D23" s="8" t="n">
        <f aca="false">$B$4</f>
        <v>0</v>
      </c>
      <c r="E23" s="8" t="n">
        <f aca="false">B23+C23+D23</f>
        <v>10.8</v>
      </c>
      <c r="F23" s="8" t="n">
        <f aca="false">E23*$B$5</f>
        <v>129.6</v>
      </c>
      <c r="G23" s="8" t="n">
        <f aca="false">F23+$B$2</f>
        <v>139.6</v>
      </c>
    </row>
    <row r="24" customFormat="false" ht="15" hidden="false" customHeight="false" outlineLevel="0" collapsed="false">
      <c r="A24" s="17" t="s">
        <v>89</v>
      </c>
      <c r="B24" s="4" t="n">
        <v>0</v>
      </c>
      <c r="C24" s="4" t="n">
        <f aca="false">B24*$B$3</f>
        <v>0</v>
      </c>
      <c r="D24" s="4" t="n">
        <f aca="false">$B$4</f>
        <v>0</v>
      </c>
      <c r="E24" s="4" t="n">
        <f aca="false">B24+C24+D24</f>
        <v>0</v>
      </c>
      <c r="F24" s="4" t="n">
        <f aca="false">E24*$B$5</f>
        <v>0</v>
      </c>
      <c r="G24" s="4" t="n">
        <f aca="false">F24+$B$2</f>
        <v>10</v>
      </c>
    </row>
    <row r="26" customFormat="false" ht="27.75" hidden="false" customHeight="true" outlineLevel="0" collapsed="false">
      <c r="A26" s="11" t="s">
        <v>107</v>
      </c>
      <c r="B26" s="11"/>
      <c r="C26" s="11"/>
      <c r="D26" s="11"/>
      <c r="E26" s="11"/>
      <c r="F26" s="11"/>
      <c r="G26" s="11"/>
    </row>
  </sheetData>
  <mergeCells count="1">
    <mergeCell ref="A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8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9" t="s">
        <v>108</v>
      </c>
    </row>
    <row r="3" customFormat="false" ht="36" hidden="false" customHeight="true" outlineLevel="0" collapsed="false">
      <c r="A3" s="1" t="s">
        <v>109</v>
      </c>
      <c r="B3" s="1" t="s">
        <v>110</v>
      </c>
      <c r="C3" s="1" t="s">
        <v>111</v>
      </c>
    </row>
    <row r="4" customFormat="false" ht="43.5" hidden="false" customHeight="true" outlineLevel="0" collapsed="false">
      <c r="A4" s="2" t="s">
        <v>112</v>
      </c>
      <c r="B4" s="2" t="s">
        <v>113</v>
      </c>
      <c r="C4" s="2" t="s">
        <v>114</v>
      </c>
    </row>
    <row r="5" customFormat="false" ht="43.5" hidden="false" customHeight="true" outlineLevel="0" collapsed="false">
      <c r="A5" s="6" t="s">
        <v>115</v>
      </c>
      <c r="B5" s="6" t="s">
        <v>116</v>
      </c>
      <c r="C5" s="6" t="s">
        <v>117</v>
      </c>
    </row>
    <row r="6" customFormat="false" ht="43.5" hidden="false" customHeight="true" outlineLevel="0" collapsed="false">
      <c r="A6" s="2" t="s">
        <v>118</v>
      </c>
      <c r="B6" s="2" t="s">
        <v>119</v>
      </c>
      <c r="C6" s="2" t="s">
        <v>120</v>
      </c>
    </row>
    <row r="7" customFormat="false" ht="43.5" hidden="false" customHeight="true" outlineLevel="0" collapsed="false">
      <c r="A7" s="6" t="s">
        <v>121</v>
      </c>
      <c r="B7" s="6" t="s">
        <v>50</v>
      </c>
      <c r="C7" s="6" t="s">
        <v>122</v>
      </c>
    </row>
    <row r="8" customFormat="false" ht="43.5" hidden="false" customHeight="true" outlineLevel="0" collapsed="false">
      <c r="A8" s="2" t="s">
        <v>123</v>
      </c>
      <c r="B8" s="2" t="s">
        <v>124</v>
      </c>
      <c r="C8" s="2" t="s">
        <v>125</v>
      </c>
    </row>
    <row r="9" customFormat="false" ht="43.5" hidden="false" customHeight="true" outlineLevel="0" collapsed="false">
      <c r="A9" s="6" t="s">
        <v>126</v>
      </c>
      <c r="B9" s="6" t="s">
        <v>85</v>
      </c>
      <c r="C9" s="6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2026-05-10T10:39:59Z</dcterms:created>
  <dc:creator>openpyxl</dc:creator>
  <dc:description/>
  <dc:language>en-US</dc:language>
  <cp:lastModifiedBy/>
  <dcterms:modified xsi:type="dcterms:W3CDTF">2026-05-10T10:39:59Z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